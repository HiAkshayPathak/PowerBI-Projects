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/>
  <workbookPr/>
  <mc:AlternateContent xmlns:mc="http://schemas.openxmlformats.org/markup-compatibility/2006">
    <mc:Choice Requires="x15">
      <x15ac:absPath xmlns:x15ac="http://schemas.microsoft.com/office/spreadsheetml/2010/11/ac" url="D:\akp20230204\projectakp\Power BI 2.0\My Assignment &amp; Others\PPTs &amp; Info\"/>
    </mc:Choice>
  </mc:AlternateContent>
  <xr:revisionPtr revIDLastSave="0" documentId="13_ncr:1_{57A4C7FA-E767-44B3-8DB8-5429D70A23E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umVsSumx" sheetId="1" r:id="rId1"/>
    <sheet name="insights" sheetId="3" r:id="rId2"/>
  </sheets>
  <definedNames>
    <definedName name="_xlnm._FilterDatabase" localSheetId="1" hidden="1">insights!$A$1:$E$36</definedName>
    <definedName name="_xlnm._FilterDatabase" localSheetId="0" hidden="1">SumVsSumx!$A$1:$E$36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3" l="1"/>
  <c r="A37" i="3"/>
  <c r="D37" i="3"/>
  <c r="E37" i="3"/>
  <c r="F37" i="3"/>
  <c r="G37" i="3"/>
  <c r="C37" i="3"/>
  <c r="F3" i="3"/>
  <c r="G3" i="3"/>
  <c r="F4" i="3"/>
  <c r="G4" i="3"/>
  <c r="F5" i="3"/>
  <c r="G5" i="3"/>
  <c r="F6" i="3"/>
  <c r="G6" i="3"/>
  <c r="F7" i="3"/>
  <c r="G7" i="3"/>
  <c r="F8" i="3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G2" i="3"/>
  <c r="F2" i="3"/>
</calcChain>
</file>

<file path=xl/sharedStrings.xml><?xml version="1.0" encoding="utf-8"?>
<sst xmlns="http://schemas.openxmlformats.org/spreadsheetml/2006/main" count="152" uniqueCount="16">
  <si>
    <t>Qty</t>
  </si>
  <si>
    <t>Tax</t>
  </si>
  <si>
    <t>Product Name</t>
  </si>
  <si>
    <t>tnp</t>
  </si>
  <si>
    <t>xay</t>
  </si>
  <si>
    <t>xyz</t>
  </si>
  <si>
    <t>acb</t>
  </si>
  <si>
    <t>pdp</t>
  </si>
  <si>
    <t>Cost</t>
  </si>
  <si>
    <t>Total Salling Price</t>
  </si>
  <si>
    <t>Salling Price</t>
  </si>
  <si>
    <t>Product Category</t>
  </si>
  <si>
    <t>Cat - 1</t>
  </si>
  <si>
    <t>Cat - 2</t>
  </si>
  <si>
    <t>Cat - 3</t>
  </si>
  <si>
    <t>rgb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</si>
</sst>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1" fillId="0" borderId="1" xfId="1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36"/>
  <sheetViews>
    <sheetView tabSelected="1" workbookViewId="0"/>
  </sheetViews>
  <sheetFormatPr defaultRowHeight="15" x14ac:dyDescent="0.25"/>
  <cols>
    <col min="1" max="1" width="13.7109375" style="5" bestFit="1" customWidth="1"/>
    <col min="2" max="2" width="16.28515625" style="5" bestFit="1" customWidth="1"/>
    <col min="3" max="5" width="11.7109375" style="5" customWidth="1"/>
    <col min="6" max="16384" width="9.140625" style="5"/>
  </cols>
  <sheetData>
    <row r="1" spans="1:5" s="6" customFormat="1" x14ac:dyDescent="0.25">
      <c r="A1" s="1" t="s">
        <v>2</v>
      </c>
      <c r="B1" s="1" t="s">
        <v>11</v>
      </c>
      <c r="C1" s="1" t="s">
        <v>0</v>
      </c>
      <c r="D1" s="1" t="s">
        <v>8</v>
      </c>
      <c r="E1" s="2" t="s">
        <v>1</v>
      </c>
    </row>
    <row r="2" spans="1:5" x14ac:dyDescent="0.25">
      <c r="A2" s="3" t="s">
        <v>3</v>
      </c>
      <c r="B2" s="3" t="s">
        <v>14</v>
      </c>
      <c r="C2" s="3">
        <v>2</v>
      </c>
      <c r="D2" s="3">
        <v>262</v>
      </c>
      <c r="E2" s="4">
        <v>4.9602983234472298</v>
      </c>
    </row>
    <row r="3" spans="1:5" x14ac:dyDescent="0.25">
      <c r="A3" s="3" t="s">
        <v>4</v>
      </c>
      <c r="B3" s="3" t="s">
        <v>12</v>
      </c>
      <c r="C3" s="3">
        <v>3</v>
      </c>
      <c r="D3" s="3">
        <v>130</v>
      </c>
      <c r="E3" s="4">
        <v>7.3831952669196497</v>
      </c>
    </row>
    <row r="4" spans="1:5" x14ac:dyDescent="0.25">
      <c r="A4" s="3" t="s">
        <v>4</v>
      </c>
      <c r="B4" s="3" t="s">
        <v>12</v>
      </c>
      <c r="C4" s="3">
        <v>6</v>
      </c>
      <c r="D4" s="3">
        <v>300</v>
      </c>
      <c r="E4" s="4">
        <v>6.8753735069672146</v>
      </c>
    </row>
    <row r="5" spans="1:5" x14ac:dyDescent="0.25">
      <c r="A5" s="3" t="s">
        <v>4</v>
      </c>
      <c r="B5" s="3" t="s">
        <v>12</v>
      </c>
      <c r="C5" s="3">
        <v>6</v>
      </c>
      <c r="D5" s="3">
        <v>162</v>
      </c>
      <c r="E5" s="4">
        <v>4.1879212588142396</v>
      </c>
    </row>
    <row r="6" spans="1:5" x14ac:dyDescent="0.25">
      <c r="A6" s="3" t="s">
        <v>4</v>
      </c>
      <c r="B6" s="3" t="s">
        <v>12</v>
      </c>
      <c r="C6" s="3">
        <v>5</v>
      </c>
      <c r="D6" s="3">
        <v>214</v>
      </c>
      <c r="E6" s="4">
        <v>4.8938040974859236</v>
      </c>
    </row>
    <row r="7" spans="1:5" x14ac:dyDescent="0.25">
      <c r="A7" s="3" t="s">
        <v>3</v>
      </c>
      <c r="B7" s="3" t="s">
        <v>14</v>
      </c>
      <c r="C7" s="3">
        <v>2</v>
      </c>
      <c r="D7" s="3">
        <v>193</v>
      </c>
      <c r="E7" s="4">
        <v>6.2544206428732041</v>
      </c>
    </row>
    <row r="8" spans="1:5" x14ac:dyDescent="0.25">
      <c r="A8" s="3" t="s">
        <v>15</v>
      </c>
      <c r="B8" s="3" t="s">
        <v>14</v>
      </c>
      <c r="C8" s="3">
        <v>2</v>
      </c>
      <c r="D8" s="3">
        <v>44</v>
      </c>
      <c r="E8" s="4">
        <v>4.4000000000000004</v>
      </c>
    </row>
    <row r="9" spans="1:5" x14ac:dyDescent="0.25">
      <c r="A9" s="3" t="s">
        <v>15</v>
      </c>
      <c r="B9" s="3" t="s">
        <v>14</v>
      </c>
      <c r="C9" s="3">
        <v>5</v>
      </c>
      <c r="D9" s="3">
        <v>148</v>
      </c>
      <c r="E9" s="4">
        <v>8.4</v>
      </c>
    </row>
    <row r="10" spans="1:5" x14ac:dyDescent="0.25">
      <c r="A10" s="3" t="s">
        <v>15</v>
      </c>
      <c r="B10" s="3" t="s">
        <v>14</v>
      </c>
      <c r="C10" s="3">
        <v>7</v>
      </c>
      <c r="D10" s="3">
        <v>98</v>
      </c>
      <c r="E10" s="4">
        <v>9.8000000000000007</v>
      </c>
    </row>
    <row r="11" spans="1:5" x14ac:dyDescent="0.25">
      <c r="A11" s="3" t="s">
        <v>15</v>
      </c>
      <c r="B11" s="3" t="s">
        <v>14</v>
      </c>
      <c r="C11" s="3">
        <v>1</v>
      </c>
      <c r="D11" s="3">
        <v>103</v>
      </c>
      <c r="E11" s="4">
        <v>3.6</v>
      </c>
    </row>
    <row r="12" spans="1:5" x14ac:dyDescent="0.25">
      <c r="A12" s="3" t="s">
        <v>15</v>
      </c>
      <c r="B12" s="3" t="s">
        <v>14</v>
      </c>
      <c r="C12" s="3">
        <v>5</v>
      </c>
      <c r="D12" s="3">
        <v>89</v>
      </c>
      <c r="E12" s="4">
        <v>4</v>
      </c>
    </row>
    <row r="13" spans="1:5" x14ac:dyDescent="0.25">
      <c r="A13" s="3" t="s">
        <v>3</v>
      </c>
      <c r="B13" s="3" t="s">
        <v>14</v>
      </c>
      <c r="C13" s="3">
        <v>4</v>
      </c>
      <c r="D13" s="3">
        <v>206</v>
      </c>
      <c r="E13" s="4">
        <v>7.9427077240398098</v>
      </c>
    </row>
    <row r="14" spans="1:5" x14ac:dyDescent="0.25">
      <c r="A14" s="3" t="s">
        <v>5</v>
      </c>
      <c r="B14" s="3" t="s">
        <v>13</v>
      </c>
      <c r="C14" s="3">
        <v>6</v>
      </c>
      <c r="D14" s="3">
        <v>157</v>
      </c>
      <c r="E14" s="4">
        <v>6.4574486878026631</v>
      </c>
    </row>
    <row r="15" spans="1:5" x14ac:dyDescent="0.25">
      <c r="A15" s="3" t="s">
        <v>6</v>
      </c>
      <c r="B15" s="3" t="s">
        <v>13</v>
      </c>
      <c r="C15" s="3">
        <v>3</v>
      </c>
      <c r="D15" s="3">
        <v>175</v>
      </c>
      <c r="E15" s="4">
        <v>6.0310231912367129</v>
      </c>
    </row>
    <row r="16" spans="1:5" x14ac:dyDescent="0.25">
      <c r="A16" s="3" t="s">
        <v>4</v>
      </c>
      <c r="B16" s="3" t="s">
        <v>12</v>
      </c>
      <c r="C16" s="3">
        <v>6</v>
      </c>
      <c r="D16" s="3">
        <v>301</v>
      </c>
      <c r="E16" s="4">
        <v>6.1127121408121674</v>
      </c>
    </row>
    <row r="17" spans="1:5" x14ac:dyDescent="0.25">
      <c r="A17" s="3" t="s">
        <v>7</v>
      </c>
      <c r="B17" s="3" t="s">
        <v>14</v>
      </c>
      <c r="C17" s="3">
        <v>2</v>
      </c>
      <c r="D17" s="3">
        <v>144</v>
      </c>
      <c r="E17" s="4">
        <v>8.6234883283818675</v>
      </c>
    </row>
    <row r="18" spans="1:5" x14ac:dyDescent="0.25">
      <c r="A18" s="3" t="s">
        <v>6</v>
      </c>
      <c r="B18" s="3" t="s">
        <v>13</v>
      </c>
      <c r="C18" s="3">
        <v>7</v>
      </c>
      <c r="D18" s="3">
        <v>267</v>
      </c>
      <c r="E18" s="4">
        <v>6.5332502764670775</v>
      </c>
    </row>
    <row r="19" spans="1:5" x14ac:dyDescent="0.25">
      <c r="A19" s="3" t="s">
        <v>7</v>
      </c>
      <c r="B19" s="3" t="s">
        <v>14</v>
      </c>
      <c r="C19" s="3">
        <v>6</v>
      </c>
      <c r="D19" s="3">
        <v>130</v>
      </c>
      <c r="E19" s="4">
        <v>6.1279920504618959</v>
      </c>
    </row>
    <row r="20" spans="1:5" x14ac:dyDescent="0.25">
      <c r="A20" s="3" t="s">
        <v>3</v>
      </c>
      <c r="B20" s="3" t="s">
        <v>14</v>
      </c>
      <c r="C20" s="3">
        <v>7</v>
      </c>
      <c r="D20" s="3">
        <v>165</v>
      </c>
      <c r="E20" s="4">
        <v>7.0607693206401017</v>
      </c>
    </row>
    <row r="21" spans="1:5" x14ac:dyDescent="0.25">
      <c r="A21" s="3" t="s">
        <v>3</v>
      </c>
      <c r="B21" s="3" t="s">
        <v>14</v>
      </c>
      <c r="C21" s="3">
        <v>5</v>
      </c>
      <c r="D21" s="3">
        <v>181</v>
      </c>
      <c r="E21" s="4">
        <v>5.6470445815075863</v>
      </c>
    </row>
    <row r="22" spans="1:5" x14ac:dyDescent="0.25">
      <c r="A22" s="3" t="s">
        <v>7</v>
      </c>
      <c r="B22" s="3" t="s">
        <v>14</v>
      </c>
      <c r="C22" s="3">
        <v>7</v>
      </c>
      <c r="D22" s="3">
        <v>146</v>
      </c>
      <c r="E22" s="4">
        <v>5.7098049131099966</v>
      </c>
    </row>
    <row r="23" spans="1:5" x14ac:dyDescent="0.25">
      <c r="A23" s="3" t="s">
        <v>7</v>
      </c>
      <c r="B23" s="3" t="s">
        <v>14</v>
      </c>
      <c r="C23" s="3">
        <v>7</v>
      </c>
      <c r="D23" s="3">
        <v>236</v>
      </c>
      <c r="E23" s="4">
        <v>8.6105609290560103</v>
      </c>
    </row>
    <row r="24" spans="1:5" x14ac:dyDescent="0.25">
      <c r="A24" s="3" t="s">
        <v>4</v>
      </c>
      <c r="B24" s="3" t="s">
        <v>12</v>
      </c>
      <c r="C24" s="3">
        <v>6</v>
      </c>
      <c r="D24" s="3">
        <v>278</v>
      </c>
      <c r="E24" s="4">
        <v>4.3221158363248975</v>
      </c>
    </row>
    <row r="25" spans="1:5" x14ac:dyDescent="0.25">
      <c r="A25" s="3" t="s">
        <v>5</v>
      </c>
      <c r="B25" s="3" t="s">
        <v>13</v>
      </c>
      <c r="C25" s="3">
        <v>6</v>
      </c>
      <c r="D25" s="3">
        <v>232</v>
      </c>
      <c r="E25" s="4">
        <v>7.9881380332252263</v>
      </c>
    </row>
    <row r="26" spans="1:5" x14ac:dyDescent="0.25">
      <c r="A26" s="3" t="s">
        <v>6</v>
      </c>
      <c r="B26" s="3" t="s">
        <v>13</v>
      </c>
      <c r="C26" s="3">
        <v>2</v>
      </c>
      <c r="D26" s="3">
        <v>186</v>
      </c>
      <c r="E26" s="4">
        <v>3.0473061486576229</v>
      </c>
    </row>
    <row r="27" spans="1:5" x14ac:dyDescent="0.25">
      <c r="A27" s="3" t="s">
        <v>7</v>
      </c>
      <c r="B27" s="3" t="s">
        <v>14</v>
      </c>
      <c r="C27" s="3">
        <v>2</v>
      </c>
      <c r="D27" s="3">
        <v>266</v>
      </c>
      <c r="E27" s="4">
        <v>5.0002269070022765</v>
      </c>
    </row>
    <row r="28" spans="1:5" x14ac:dyDescent="0.25">
      <c r="A28" s="3" t="s">
        <v>5</v>
      </c>
      <c r="B28" s="3" t="s">
        <v>13</v>
      </c>
      <c r="C28" s="3">
        <v>3</v>
      </c>
      <c r="D28" s="3">
        <v>208</v>
      </c>
      <c r="E28" s="4">
        <v>6.4678823869787445</v>
      </c>
    </row>
    <row r="29" spans="1:5" x14ac:dyDescent="0.25">
      <c r="A29" s="3" t="s">
        <v>6</v>
      </c>
      <c r="B29" s="3" t="s">
        <v>13</v>
      </c>
      <c r="C29" s="3">
        <v>2</v>
      </c>
      <c r="D29" s="3">
        <v>109</v>
      </c>
      <c r="E29" s="4">
        <v>4.4063036525820118</v>
      </c>
    </row>
    <row r="30" spans="1:5" x14ac:dyDescent="0.25">
      <c r="A30" s="3" t="s">
        <v>7</v>
      </c>
      <c r="B30" s="3" t="s">
        <v>14</v>
      </c>
      <c r="C30" s="3">
        <v>6</v>
      </c>
      <c r="D30" s="3">
        <v>136</v>
      </c>
      <c r="E30" s="4">
        <v>3.67130657968359</v>
      </c>
    </row>
    <row r="31" spans="1:5" x14ac:dyDescent="0.25">
      <c r="A31" s="3" t="s">
        <v>3</v>
      </c>
      <c r="B31" s="3" t="s">
        <v>14</v>
      </c>
      <c r="C31" s="3">
        <v>7</v>
      </c>
      <c r="D31" s="3">
        <v>278</v>
      </c>
      <c r="E31" s="4">
        <v>5.0979221318654684</v>
      </c>
    </row>
    <row r="32" spans="1:5" x14ac:dyDescent="0.25">
      <c r="A32" s="3" t="s">
        <v>5</v>
      </c>
      <c r="B32" s="3" t="s">
        <v>13</v>
      </c>
      <c r="C32" s="3">
        <v>3</v>
      </c>
      <c r="D32" s="3">
        <v>295</v>
      </c>
      <c r="E32" s="4">
        <v>5.3293790452328782</v>
      </c>
    </row>
    <row r="33" spans="1:5" x14ac:dyDescent="0.25">
      <c r="A33" s="3" t="s">
        <v>7</v>
      </c>
      <c r="B33" s="3" t="s">
        <v>14</v>
      </c>
      <c r="C33" s="3">
        <v>2</v>
      </c>
      <c r="D33" s="3">
        <v>284</v>
      </c>
      <c r="E33" s="4">
        <v>3.2315726738112702</v>
      </c>
    </row>
    <row r="34" spans="1:5" x14ac:dyDescent="0.25">
      <c r="A34" s="3" t="s">
        <v>5</v>
      </c>
      <c r="B34" s="3" t="s">
        <v>13</v>
      </c>
      <c r="C34" s="3">
        <v>3</v>
      </c>
      <c r="D34" s="3">
        <v>139</v>
      </c>
      <c r="E34" s="4">
        <v>6.4213736323608943</v>
      </c>
    </row>
    <row r="35" spans="1:5" x14ac:dyDescent="0.25">
      <c r="A35" s="3" t="s">
        <v>5</v>
      </c>
      <c r="B35" s="3" t="s">
        <v>13</v>
      </c>
      <c r="C35" s="3">
        <v>5</v>
      </c>
      <c r="D35" s="3">
        <v>186</v>
      </c>
      <c r="E35" s="4">
        <v>4.1541109678600607</v>
      </c>
    </row>
    <row r="36" spans="1:5" x14ac:dyDescent="0.25">
      <c r="A36" s="3" t="s">
        <v>5</v>
      </c>
      <c r="B36" s="3" t="s">
        <v>13</v>
      </c>
      <c r="C36" s="3">
        <v>2</v>
      </c>
      <c r="D36" s="3">
        <v>277</v>
      </c>
      <c r="E36" s="4">
        <v>6.3317075889157586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70426-F438-4D41-9D09-3422F1E3DF84}">
  <dimension ref="A1:G37"/>
  <sheetViews>
    <sheetView workbookViewId="0"/>
  </sheetViews>
  <sheetFormatPr defaultRowHeight="15" x14ac:dyDescent="0.25"/>
  <cols>
    <col min="1" max="1" width="13.7109375" style="5" bestFit="1" customWidth="1"/>
    <col min="2" max="2" width="16.28515625" style="5" bestFit="1" customWidth="1"/>
    <col min="3" max="5" width="11.7109375" style="5" customWidth="1"/>
    <col min="6" max="6" width="11.7109375" style="5" bestFit="1" customWidth="1"/>
    <col min="7" max="7" width="16.7109375" style="5" bestFit="1" customWidth="1"/>
    <col min="8" max="16384" width="9.140625" style="5"/>
  </cols>
  <sheetData>
    <row r="1" spans="1:7" s="6" customFormat="1" x14ac:dyDescent="0.25">
      <c r="A1" s="1" t="s">
        <v>2</v>
      </c>
      <c r="B1" s="1" t="s">
        <v>11</v>
      </c>
      <c r="C1" s="1" t="s">
        <v>0</v>
      </c>
      <c r="D1" s="1" t="s">
        <v>8</v>
      </c>
      <c r="E1" s="2" t="s">
        <v>1</v>
      </c>
      <c r="F1" s="7" t="s">
        <v>10</v>
      </c>
      <c r="G1" s="7" t="s">
        <v>9</v>
      </c>
    </row>
    <row r="2" spans="1:7" x14ac:dyDescent="0.25">
      <c r="A2" s="3" t="s">
        <v>3</v>
      </c>
      <c r="B2" s="3" t="s">
        <v>14</v>
      </c>
      <c r="C2" s="3">
        <v>2</v>
      </c>
      <c r="D2" s="3">
        <v>262</v>
      </c>
      <c r="E2" s="4">
        <v>4.9602983234472298</v>
      </c>
      <c r="F2" s="8">
        <f>D2*C2</f>
        <v>524</v>
      </c>
      <c r="G2" s="8">
        <f>ROUND(D2*C2+E2,0)</f>
        <v>529</v>
      </c>
    </row>
    <row r="3" spans="1:7" x14ac:dyDescent="0.25">
      <c r="A3" s="3" t="s">
        <v>4</v>
      </c>
      <c r="B3" s="3" t="s">
        <v>12</v>
      </c>
      <c r="C3" s="3">
        <v>3</v>
      </c>
      <c r="D3" s="3">
        <v>130</v>
      </c>
      <c r="E3" s="4">
        <v>7.3831952669196497</v>
      </c>
      <c r="F3" s="8">
        <f t="shared" ref="F3:F36" si="0">D3*C3</f>
        <v>390</v>
      </c>
      <c r="G3" s="8">
        <f t="shared" ref="G3:G36" si="1">ROUND(D3*C3+E3,0)</f>
        <v>397</v>
      </c>
    </row>
    <row r="4" spans="1:7" x14ac:dyDescent="0.25">
      <c r="A4" s="3" t="s">
        <v>4</v>
      </c>
      <c r="B4" s="3" t="s">
        <v>12</v>
      </c>
      <c r="C4" s="3">
        <v>6</v>
      </c>
      <c r="D4" s="3">
        <v>300</v>
      </c>
      <c r="E4" s="4">
        <v>6.8753735069672146</v>
      </c>
      <c r="F4" s="8">
        <f t="shared" si="0"/>
        <v>1800</v>
      </c>
      <c r="G4" s="8">
        <f t="shared" si="1"/>
        <v>1807</v>
      </c>
    </row>
    <row r="5" spans="1:7" x14ac:dyDescent="0.25">
      <c r="A5" s="3" t="s">
        <v>4</v>
      </c>
      <c r="B5" s="3" t="s">
        <v>12</v>
      </c>
      <c r="C5" s="3">
        <v>6</v>
      </c>
      <c r="D5" s="3">
        <v>162</v>
      </c>
      <c r="E5" s="4">
        <v>4.1879212588142396</v>
      </c>
      <c r="F5" s="8">
        <f t="shared" si="0"/>
        <v>972</v>
      </c>
      <c r="G5" s="8">
        <f t="shared" si="1"/>
        <v>976</v>
      </c>
    </row>
    <row r="6" spans="1:7" x14ac:dyDescent="0.25">
      <c r="A6" s="3" t="s">
        <v>4</v>
      </c>
      <c r="B6" s="3" t="s">
        <v>12</v>
      </c>
      <c r="C6" s="3">
        <v>5</v>
      </c>
      <c r="D6" s="3">
        <v>214</v>
      </c>
      <c r="E6" s="4">
        <v>4.8938040974859236</v>
      </c>
      <c r="F6" s="8">
        <f t="shared" si="0"/>
        <v>1070</v>
      </c>
      <c r="G6" s="8">
        <f t="shared" si="1"/>
        <v>1075</v>
      </c>
    </row>
    <row r="7" spans="1:7" x14ac:dyDescent="0.25">
      <c r="A7" s="3" t="s">
        <v>3</v>
      </c>
      <c r="B7" s="3" t="s">
        <v>14</v>
      </c>
      <c r="C7" s="3">
        <v>2</v>
      </c>
      <c r="D7" s="3">
        <v>193</v>
      </c>
      <c r="E7" s="4">
        <v>6.2544206428732041</v>
      </c>
      <c r="F7" s="8">
        <f t="shared" si="0"/>
        <v>386</v>
      </c>
      <c r="G7" s="8">
        <f t="shared" si="1"/>
        <v>392</v>
      </c>
    </row>
    <row r="8" spans="1:7" x14ac:dyDescent="0.25">
      <c r="A8" s="3" t="s">
        <v>15</v>
      </c>
      <c r="B8" s="3" t="s">
        <v>14</v>
      </c>
      <c r="C8" s="3">
        <v>2</v>
      </c>
      <c r="D8" s="3">
        <v>44</v>
      </c>
      <c r="E8" s="4">
        <v>4.4000000000000004</v>
      </c>
      <c r="F8" s="8">
        <f t="shared" si="0"/>
        <v>88</v>
      </c>
      <c r="G8" s="8">
        <f t="shared" si="1"/>
        <v>92</v>
      </c>
    </row>
    <row r="9" spans="1:7" x14ac:dyDescent="0.25">
      <c r="A9" s="3" t="s">
        <v>15</v>
      </c>
      <c r="B9" s="3" t="s">
        <v>14</v>
      </c>
      <c r="C9" s="3">
        <v>5</v>
      </c>
      <c r="D9" s="3">
        <v>148</v>
      </c>
      <c r="E9" s="4">
        <v>8.4</v>
      </c>
      <c r="F9" s="8">
        <f t="shared" si="0"/>
        <v>740</v>
      </c>
      <c r="G9" s="8">
        <f t="shared" si="1"/>
        <v>748</v>
      </c>
    </row>
    <row r="10" spans="1:7" x14ac:dyDescent="0.25">
      <c r="A10" s="3" t="s">
        <v>15</v>
      </c>
      <c r="B10" s="3" t="s">
        <v>14</v>
      </c>
      <c r="C10" s="3">
        <v>7</v>
      </c>
      <c r="D10" s="3">
        <v>98</v>
      </c>
      <c r="E10" s="4">
        <v>9.8000000000000007</v>
      </c>
      <c r="F10" s="8">
        <f t="shared" si="0"/>
        <v>686</v>
      </c>
      <c r="G10" s="8">
        <f t="shared" si="1"/>
        <v>696</v>
      </c>
    </row>
    <row r="11" spans="1:7" x14ac:dyDescent="0.25">
      <c r="A11" s="3" t="s">
        <v>15</v>
      </c>
      <c r="B11" s="3" t="s">
        <v>14</v>
      </c>
      <c r="C11" s="3">
        <v>1</v>
      </c>
      <c r="D11" s="3">
        <v>103</v>
      </c>
      <c r="E11" s="4">
        <v>3.6</v>
      </c>
      <c r="F11" s="8">
        <f t="shared" si="0"/>
        <v>103</v>
      </c>
      <c r="G11" s="8">
        <f t="shared" si="1"/>
        <v>107</v>
      </c>
    </row>
    <row r="12" spans="1:7" x14ac:dyDescent="0.25">
      <c r="A12" s="3" t="s">
        <v>15</v>
      </c>
      <c r="B12" s="3" t="s">
        <v>14</v>
      </c>
      <c r="C12" s="3">
        <v>5</v>
      </c>
      <c r="D12" s="3">
        <v>89</v>
      </c>
      <c r="E12" s="4">
        <v>4</v>
      </c>
      <c r="F12" s="8">
        <f t="shared" si="0"/>
        <v>445</v>
      </c>
      <c r="G12" s="8">
        <f t="shared" si="1"/>
        <v>449</v>
      </c>
    </row>
    <row r="13" spans="1:7" x14ac:dyDescent="0.25">
      <c r="A13" s="3" t="s">
        <v>3</v>
      </c>
      <c r="B13" s="3" t="s">
        <v>14</v>
      </c>
      <c r="C13" s="3">
        <v>4</v>
      </c>
      <c r="D13" s="3">
        <v>206</v>
      </c>
      <c r="E13" s="4">
        <v>7.9427077240398098</v>
      </c>
      <c r="F13" s="8">
        <f t="shared" si="0"/>
        <v>824</v>
      </c>
      <c r="G13" s="8">
        <f t="shared" si="1"/>
        <v>832</v>
      </c>
    </row>
    <row r="14" spans="1:7" x14ac:dyDescent="0.25">
      <c r="A14" s="3" t="s">
        <v>5</v>
      </c>
      <c r="B14" s="3" t="s">
        <v>13</v>
      </c>
      <c r="C14" s="3">
        <v>6</v>
      </c>
      <c r="D14" s="3">
        <v>157</v>
      </c>
      <c r="E14" s="4">
        <v>6.4574486878026631</v>
      </c>
      <c r="F14" s="8">
        <f t="shared" si="0"/>
        <v>942</v>
      </c>
      <c r="G14" s="8">
        <f t="shared" si="1"/>
        <v>948</v>
      </c>
    </row>
    <row r="15" spans="1:7" x14ac:dyDescent="0.25">
      <c r="A15" s="3" t="s">
        <v>6</v>
      </c>
      <c r="B15" s="3" t="s">
        <v>13</v>
      </c>
      <c r="C15" s="3">
        <v>3</v>
      </c>
      <c r="D15" s="3">
        <v>175</v>
      </c>
      <c r="E15" s="4">
        <v>6.0310231912367129</v>
      </c>
      <c r="F15" s="8">
        <f t="shared" si="0"/>
        <v>525</v>
      </c>
      <c r="G15" s="8">
        <f t="shared" si="1"/>
        <v>531</v>
      </c>
    </row>
    <row r="16" spans="1:7" x14ac:dyDescent="0.25">
      <c r="A16" s="3" t="s">
        <v>4</v>
      </c>
      <c r="B16" s="3" t="s">
        <v>12</v>
      </c>
      <c r="C16" s="3">
        <v>6</v>
      </c>
      <c r="D16" s="3">
        <v>301</v>
      </c>
      <c r="E16" s="4">
        <v>6.1127121408121674</v>
      </c>
      <c r="F16" s="8">
        <f t="shared" si="0"/>
        <v>1806</v>
      </c>
      <c r="G16" s="8">
        <f t="shared" si="1"/>
        <v>1812</v>
      </c>
    </row>
    <row r="17" spans="1:7" x14ac:dyDescent="0.25">
      <c r="A17" s="3" t="s">
        <v>7</v>
      </c>
      <c r="B17" s="3" t="s">
        <v>14</v>
      </c>
      <c r="C17" s="3">
        <v>2</v>
      </c>
      <c r="D17" s="3">
        <v>144</v>
      </c>
      <c r="E17" s="4">
        <v>8.6234883283818675</v>
      </c>
      <c r="F17" s="8">
        <f t="shared" si="0"/>
        <v>288</v>
      </c>
      <c r="G17" s="8">
        <f t="shared" si="1"/>
        <v>297</v>
      </c>
    </row>
    <row r="18" spans="1:7" x14ac:dyDescent="0.25">
      <c r="A18" s="3" t="s">
        <v>6</v>
      </c>
      <c r="B18" s="3" t="s">
        <v>13</v>
      </c>
      <c r="C18" s="3">
        <v>7</v>
      </c>
      <c r="D18" s="3">
        <v>267</v>
      </c>
      <c r="E18" s="4">
        <v>6.5332502764670775</v>
      </c>
      <c r="F18" s="8">
        <f t="shared" si="0"/>
        <v>1869</v>
      </c>
      <c r="G18" s="8">
        <f t="shared" si="1"/>
        <v>1876</v>
      </c>
    </row>
    <row r="19" spans="1:7" x14ac:dyDescent="0.25">
      <c r="A19" s="3" t="s">
        <v>7</v>
      </c>
      <c r="B19" s="3" t="s">
        <v>14</v>
      </c>
      <c r="C19" s="3">
        <v>6</v>
      </c>
      <c r="D19" s="3">
        <v>130</v>
      </c>
      <c r="E19" s="4">
        <v>6.1279920504618959</v>
      </c>
      <c r="F19" s="8">
        <f t="shared" si="0"/>
        <v>780</v>
      </c>
      <c r="G19" s="8">
        <f t="shared" si="1"/>
        <v>786</v>
      </c>
    </row>
    <row r="20" spans="1:7" x14ac:dyDescent="0.25">
      <c r="A20" s="3" t="s">
        <v>3</v>
      </c>
      <c r="B20" s="3" t="s">
        <v>14</v>
      </c>
      <c r="C20" s="3">
        <v>7</v>
      </c>
      <c r="D20" s="3">
        <v>165</v>
      </c>
      <c r="E20" s="4">
        <v>7.0607693206401017</v>
      </c>
      <c r="F20" s="8">
        <f t="shared" si="0"/>
        <v>1155</v>
      </c>
      <c r="G20" s="8">
        <f t="shared" si="1"/>
        <v>1162</v>
      </c>
    </row>
    <row r="21" spans="1:7" x14ac:dyDescent="0.25">
      <c r="A21" s="3" t="s">
        <v>3</v>
      </c>
      <c r="B21" s="3" t="s">
        <v>14</v>
      </c>
      <c r="C21" s="3">
        <v>5</v>
      </c>
      <c r="D21" s="3">
        <v>181</v>
      </c>
      <c r="E21" s="4">
        <v>5.6470445815075863</v>
      </c>
      <c r="F21" s="8">
        <f t="shared" si="0"/>
        <v>905</v>
      </c>
      <c r="G21" s="8">
        <f t="shared" si="1"/>
        <v>911</v>
      </c>
    </row>
    <row r="22" spans="1:7" x14ac:dyDescent="0.25">
      <c r="A22" s="3" t="s">
        <v>7</v>
      </c>
      <c r="B22" s="3" t="s">
        <v>14</v>
      </c>
      <c r="C22" s="3">
        <v>7</v>
      </c>
      <c r="D22" s="3">
        <v>146</v>
      </c>
      <c r="E22" s="4">
        <v>5.7098049131099966</v>
      </c>
      <c r="F22" s="8">
        <f t="shared" si="0"/>
        <v>1022</v>
      </c>
      <c r="G22" s="8">
        <f t="shared" si="1"/>
        <v>1028</v>
      </c>
    </row>
    <row r="23" spans="1:7" x14ac:dyDescent="0.25">
      <c r="A23" s="3" t="s">
        <v>7</v>
      </c>
      <c r="B23" s="3" t="s">
        <v>14</v>
      </c>
      <c r="C23" s="3">
        <v>7</v>
      </c>
      <c r="D23" s="3">
        <v>236</v>
      </c>
      <c r="E23" s="4">
        <v>8.6105609290560103</v>
      </c>
      <c r="F23" s="8">
        <f t="shared" si="0"/>
        <v>1652</v>
      </c>
      <c r="G23" s="8">
        <f t="shared" si="1"/>
        <v>1661</v>
      </c>
    </row>
    <row r="24" spans="1:7" x14ac:dyDescent="0.25">
      <c r="A24" s="3" t="s">
        <v>4</v>
      </c>
      <c r="B24" s="3" t="s">
        <v>12</v>
      </c>
      <c r="C24" s="3">
        <v>6</v>
      </c>
      <c r="D24" s="3">
        <v>278</v>
      </c>
      <c r="E24" s="4">
        <v>4.3221158363248975</v>
      </c>
      <c r="F24" s="8">
        <f t="shared" si="0"/>
        <v>1668</v>
      </c>
      <c r="G24" s="8">
        <f t="shared" si="1"/>
        <v>1672</v>
      </c>
    </row>
    <row r="25" spans="1:7" x14ac:dyDescent="0.25">
      <c r="A25" s="3" t="s">
        <v>5</v>
      </c>
      <c r="B25" s="3" t="s">
        <v>13</v>
      </c>
      <c r="C25" s="3">
        <v>6</v>
      </c>
      <c r="D25" s="3">
        <v>232</v>
      </c>
      <c r="E25" s="4">
        <v>7.9881380332252263</v>
      </c>
      <c r="F25" s="8">
        <f t="shared" si="0"/>
        <v>1392</v>
      </c>
      <c r="G25" s="8">
        <f t="shared" si="1"/>
        <v>1400</v>
      </c>
    </row>
    <row r="26" spans="1:7" x14ac:dyDescent="0.25">
      <c r="A26" s="3" t="s">
        <v>6</v>
      </c>
      <c r="B26" s="3" t="s">
        <v>13</v>
      </c>
      <c r="C26" s="3">
        <v>2</v>
      </c>
      <c r="D26" s="3">
        <v>186</v>
      </c>
      <c r="E26" s="4">
        <v>3.0473061486576229</v>
      </c>
      <c r="F26" s="8">
        <f t="shared" si="0"/>
        <v>372</v>
      </c>
      <c r="G26" s="8">
        <f t="shared" si="1"/>
        <v>375</v>
      </c>
    </row>
    <row r="27" spans="1:7" x14ac:dyDescent="0.25">
      <c r="A27" s="3" t="s">
        <v>7</v>
      </c>
      <c r="B27" s="3" t="s">
        <v>14</v>
      </c>
      <c r="C27" s="3">
        <v>2</v>
      </c>
      <c r="D27" s="3">
        <v>266</v>
      </c>
      <c r="E27" s="4">
        <v>5.0002269070022765</v>
      </c>
      <c r="F27" s="8">
        <f t="shared" si="0"/>
        <v>532</v>
      </c>
      <c r="G27" s="8">
        <f t="shared" si="1"/>
        <v>537</v>
      </c>
    </row>
    <row r="28" spans="1:7" x14ac:dyDescent="0.25">
      <c r="A28" s="3" t="s">
        <v>5</v>
      </c>
      <c r="B28" s="3" t="s">
        <v>13</v>
      </c>
      <c r="C28" s="3">
        <v>3</v>
      </c>
      <c r="D28" s="3">
        <v>208</v>
      </c>
      <c r="E28" s="4">
        <v>6.4678823869787445</v>
      </c>
      <c r="F28" s="8">
        <f t="shared" si="0"/>
        <v>624</v>
      </c>
      <c r="G28" s="8">
        <f t="shared" si="1"/>
        <v>630</v>
      </c>
    </row>
    <row r="29" spans="1:7" x14ac:dyDescent="0.25">
      <c r="A29" s="3" t="s">
        <v>6</v>
      </c>
      <c r="B29" s="3" t="s">
        <v>13</v>
      </c>
      <c r="C29" s="3">
        <v>2</v>
      </c>
      <c r="D29" s="3">
        <v>109</v>
      </c>
      <c r="E29" s="4">
        <v>4.4063036525820118</v>
      </c>
      <c r="F29" s="8">
        <f t="shared" si="0"/>
        <v>218</v>
      </c>
      <c r="G29" s="8">
        <f t="shared" si="1"/>
        <v>222</v>
      </c>
    </row>
    <row r="30" spans="1:7" x14ac:dyDescent="0.25">
      <c r="A30" s="3" t="s">
        <v>7</v>
      </c>
      <c r="B30" s="3" t="s">
        <v>14</v>
      </c>
      <c r="C30" s="3">
        <v>6</v>
      </c>
      <c r="D30" s="3">
        <v>136</v>
      </c>
      <c r="E30" s="4">
        <v>3.67130657968359</v>
      </c>
      <c r="F30" s="8">
        <f t="shared" si="0"/>
        <v>816</v>
      </c>
      <c r="G30" s="8">
        <f t="shared" si="1"/>
        <v>820</v>
      </c>
    </row>
    <row r="31" spans="1:7" x14ac:dyDescent="0.25">
      <c r="A31" s="3" t="s">
        <v>3</v>
      </c>
      <c r="B31" s="3" t="s">
        <v>14</v>
      </c>
      <c r="C31" s="3">
        <v>7</v>
      </c>
      <c r="D31" s="3">
        <v>278</v>
      </c>
      <c r="E31" s="4">
        <v>5.0979221318654684</v>
      </c>
      <c r="F31" s="8">
        <f t="shared" si="0"/>
        <v>1946</v>
      </c>
      <c r="G31" s="8">
        <f t="shared" si="1"/>
        <v>1951</v>
      </c>
    </row>
    <row r="32" spans="1:7" x14ac:dyDescent="0.25">
      <c r="A32" s="3" t="s">
        <v>5</v>
      </c>
      <c r="B32" s="3" t="s">
        <v>13</v>
      </c>
      <c r="C32" s="3">
        <v>3</v>
      </c>
      <c r="D32" s="3">
        <v>295</v>
      </c>
      <c r="E32" s="4">
        <v>5.3293790452328782</v>
      </c>
      <c r="F32" s="8">
        <f t="shared" si="0"/>
        <v>885</v>
      </c>
      <c r="G32" s="8">
        <f t="shared" si="1"/>
        <v>890</v>
      </c>
    </row>
    <row r="33" spans="1:7" x14ac:dyDescent="0.25">
      <c r="A33" s="3" t="s">
        <v>7</v>
      </c>
      <c r="B33" s="3" t="s">
        <v>14</v>
      </c>
      <c r="C33" s="3">
        <v>2</v>
      </c>
      <c r="D33" s="3">
        <v>284</v>
      </c>
      <c r="E33" s="4">
        <v>3.2315726738112702</v>
      </c>
      <c r="F33" s="8">
        <f t="shared" si="0"/>
        <v>568</v>
      </c>
      <c r="G33" s="8">
        <f t="shared" si="1"/>
        <v>571</v>
      </c>
    </row>
    <row r="34" spans="1:7" x14ac:dyDescent="0.25">
      <c r="A34" s="3" t="s">
        <v>5</v>
      </c>
      <c r="B34" s="3" t="s">
        <v>13</v>
      </c>
      <c r="C34" s="3">
        <v>3</v>
      </c>
      <c r="D34" s="3">
        <v>139</v>
      </c>
      <c r="E34" s="4">
        <v>6.4213736323608943</v>
      </c>
      <c r="F34" s="8">
        <f t="shared" si="0"/>
        <v>417</v>
      </c>
      <c r="G34" s="8">
        <f t="shared" si="1"/>
        <v>423</v>
      </c>
    </row>
    <row r="35" spans="1:7" x14ac:dyDescent="0.25">
      <c r="A35" s="3" t="s">
        <v>5</v>
      </c>
      <c r="B35" s="3" t="s">
        <v>13</v>
      </c>
      <c r="C35" s="3">
        <v>5</v>
      </c>
      <c r="D35" s="3">
        <v>186</v>
      </c>
      <c r="E35" s="4">
        <v>4.1541109678600607</v>
      </c>
      <c r="F35" s="8">
        <f t="shared" si="0"/>
        <v>930</v>
      </c>
      <c r="G35" s="8">
        <f t="shared" si="1"/>
        <v>934</v>
      </c>
    </row>
    <row r="36" spans="1:7" x14ac:dyDescent="0.25">
      <c r="A36" s="3" t="s">
        <v>5</v>
      </c>
      <c r="B36" s="3" t="s">
        <v>13</v>
      </c>
      <c r="C36" s="3">
        <v>2</v>
      </c>
      <c r="D36" s="3">
        <v>277</v>
      </c>
      <c r="E36" s="4">
        <v>6.3317075889157586</v>
      </c>
      <c r="F36" s="8">
        <f t="shared" si="0"/>
        <v>554</v>
      </c>
      <c r="G36" s="8">
        <f t="shared" si="1"/>
        <v>560</v>
      </c>
    </row>
    <row r="37" spans="1:7" x14ac:dyDescent="0.25">
      <c r="A37" s="9">
        <f>SUBTOTAL(103,A2:A36)</f>
        <v>35</v>
      </c>
      <c r="B37" s="9">
        <f>SUBTOTAL(103,B2:B36)</f>
        <v>35</v>
      </c>
      <c r="C37" s="9">
        <f>SUBTOTAL(9,C2:C36)</f>
        <v>153</v>
      </c>
      <c r="D37" s="9">
        <f t="shared" ref="D37:G37" si="2">SUBTOTAL(9,D2:D36)</f>
        <v>6725</v>
      </c>
      <c r="E37" s="9">
        <f t="shared" si="2"/>
        <v>205.08116082452401</v>
      </c>
      <c r="F37" s="9">
        <f t="shared" si="2"/>
        <v>29894</v>
      </c>
      <c r="G37" s="9">
        <f t="shared" si="2"/>
        <v>30097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SumVsSumx</vt:lpstr>
      <vt:lpstr>insights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Akshay Pathak</cp:lastModifiedBy>
  <dcterms:created xsi:type="dcterms:W3CDTF">2022-10-05T11:23:32Z</dcterms:created>
  <dcterms:modified xsi:type="dcterms:W3CDTF">2024-02-16T15:19:57Z</dcterms:modified>
</cp:coreProperties>
</file>